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ahardee/Documents/GradPrograms/ENVS/UNT/Proposal/"/>
    </mc:Choice>
  </mc:AlternateContent>
  <xr:revisionPtr revIDLastSave="0" documentId="8_{C3EC2100-7DEC-204B-B289-FFC511E7201B}" xr6:coauthVersionLast="47" xr6:coauthVersionMax="47" xr10:uidLastSave="{00000000-0000-0000-0000-000000000000}"/>
  <bookViews>
    <workbookView xWindow="1240" yWindow="1080" windowWidth="18560" windowHeight="17440" xr2:uid="{200D3FC9-A8F0-1E44-96FB-2472B16CF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<sst xmlns="http://schemas.openxmlformats.org/spreadsheetml/2006/main" count="32" uniqueCount="10">
  <si>
    <t>Site</t>
  </si>
  <si>
    <t>Location</t>
  </si>
  <si>
    <t>Date</t>
  </si>
  <si>
    <t xml:space="preserve">Hickory </t>
  </si>
  <si>
    <t>DS</t>
  </si>
  <si>
    <t>US</t>
  </si>
  <si>
    <t xml:space="preserve">Pecan </t>
  </si>
  <si>
    <t>TOC_DOC_ppm</t>
  </si>
  <si>
    <t>TOC std_ppb</t>
  </si>
  <si>
    <t>abs_254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</si>
</sst>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BDA7-BD63-3043-B1DE-4B4A99188D32}">
  <dimension ref="A1:F14"/>
  <sheetViews>
    <sheetView tabSelected="1" zoomScale="125" workbookViewId="0">
      <selection activeCell="G13" sqref="G13"/>
    </sheetView>
  </sheetViews>
  <sheetFormatPr baseColWidth="10" defaultRowHeight="16" x14ac:dyDescent="0.2"/>
  <cols>
    <col min="4" max="4" width="22" customWidth="1"/>
    <col min="5" max="5" width="14.1640625" customWidth="1"/>
  </cols>
  <sheetData>
    <row r="1" spans="1:6" x14ac:dyDescent="0.2">
      <c r="A1" t="s">
        <v>2</v>
      </c>
      <c r="B1" t="s">
        <v>0</v>
      </c>
      <c r="C1" t="s">
        <v>1</v>
      </c>
      <c r="D1" t="s">
        <v>7</v>
      </c>
      <c r="E1" t="s">
        <v>8</v>
      </c>
      <c r="F1" t="s">
        <v>9</v>
      </c>
    </row>
    <row r="2" spans="1:6" x14ac:dyDescent="0.2">
      <c r="A2" s="1">
        <v>46191</v>
      </c>
      <c r="B2" t="s">
        <v>3</v>
      </c>
      <c r="C2" t="s">
        <v>4</v>
      </c>
      <c r="D2">
        <v>4.2699999999999996</v>
      </c>
      <c r="E2">
        <v>115</v>
      </c>
      <c r="F2">
        <f>AVERAGE(0.0812766,0.07951667)</f>
        <v>8.0396634999999994E-2</v>
      </c>
    </row>
    <row r="3" spans="1:6" x14ac:dyDescent="0.2">
      <c r="A3" s="1">
        <v>46191</v>
      </c>
      <c r="B3" t="s">
        <v>3</v>
      </c>
      <c r="C3" t="s">
        <v>4</v>
      </c>
      <c r="D3">
        <v>5.13</v>
      </c>
      <c r="E3">
        <v>1880</v>
      </c>
      <c r="F3">
        <f t="shared" ref="F3:F4" si="0">AVERAGE(0.0812766,0.07951667)</f>
        <v>8.0396634999999994E-2</v>
      </c>
    </row>
    <row r="4" spans="1:6" x14ac:dyDescent="0.2">
      <c r="A4" s="1">
        <v>46191</v>
      </c>
      <c r="B4" t="s">
        <v>3</v>
      </c>
      <c r="C4" t="s">
        <v>5</v>
      </c>
      <c r="D4">
        <v>3.97</v>
      </c>
      <c r="E4">
        <v>57.7</v>
      </c>
      <c r="F4">
        <f t="shared" si="0"/>
        <v>8.0396634999999994E-2</v>
      </c>
    </row>
    <row r="5" spans="1:6" x14ac:dyDescent="0.2">
      <c r="A5" s="1">
        <v>46097</v>
      </c>
      <c r="B5" t="s">
        <v>3</v>
      </c>
      <c r="C5" t="s">
        <v>4</v>
      </c>
      <c r="D5">
        <v>5.6</v>
      </c>
      <c r="E5">
        <v>173</v>
      </c>
      <c r="F5" s="2">
        <f>AVERAGE(0.14600667,0.14694333)</f>
        <v>0.14647500000000002</v>
      </c>
    </row>
    <row r="6" spans="1:6" x14ac:dyDescent="0.2">
      <c r="A6" s="1">
        <v>46097</v>
      </c>
      <c r="B6" t="s">
        <v>3</v>
      </c>
      <c r="C6" t="s">
        <v>5</v>
      </c>
      <c r="D6">
        <v>5.37</v>
      </c>
      <c r="E6">
        <v>57.7</v>
      </c>
      <c r="F6" s="2">
        <f>AVERAGE(0.14600667,0.14694333)</f>
        <v>0.14647500000000002</v>
      </c>
    </row>
    <row r="7" spans="1:6" x14ac:dyDescent="0.2">
      <c r="A7" s="1">
        <v>46111</v>
      </c>
      <c r="B7" t="s">
        <v>3</v>
      </c>
      <c r="C7" t="s">
        <v>4</v>
      </c>
      <c r="D7">
        <v>2.5299999999999998</v>
      </c>
      <c r="E7">
        <v>971</v>
      </c>
      <c r="F7">
        <f>AVERAGE(0.04257, 0.04699667)</f>
        <v>4.4783334999999994E-2</v>
      </c>
    </row>
    <row r="8" spans="1:6" x14ac:dyDescent="0.2">
      <c r="A8" s="1">
        <v>46111</v>
      </c>
      <c r="B8" t="s">
        <v>3</v>
      </c>
      <c r="C8" t="s">
        <v>5</v>
      </c>
      <c r="D8">
        <v>4</v>
      </c>
      <c r="E8">
        <v>173</v>
      </c>
      <c r="F8">
        <f>AVERAGE(0.04257, 0.04699667)</f>
        <v>4.4783334999999994E-2</v>
      </c>
    </row>
    <row r="9" spans="1:6" x14ac:dyDescent="0.2">
      <c r="A9" s="1">
        <v>46154</v>
      </c>
      <c r="B9" t="s">
        <v>3</v>
      </c>
      <c r="C9" t="s">
        <v>5</v>
      </c>
      <c r="D9">
        <v>3.83</v>
      </c>
      <c r="E9">
        <v>115</v>
      </c>
      <c r="F9">
        <f>AVERAGE(0.05677667, 0.05685667)</f>
        <v>5.681667E-2</v>
      </c>
    </row>
    <row r="10" spans="1:6" x14ac:dyDescent="0.2">
      <c r="A10" s="1">
        <v>46083</v>
      </c>
      <c r="B10" t="s">
        <v>6</v>
      </c>
      <c r="C10" t="s">
        <v>4</v>
      </c>
      <c r="D10">
        <v>4.37</v>
      </c>
      <c r="E10">
        <v>57.7</v>
      </c>
      <c r="F10" s="2">
        <v>6.7159999999999997E-2</v>
      </c>
    </row>
    <row r="11" spans="1:6" x14ac:dyDescent="0.2">
      <c r="A11" s="1">
        <v>46218</v>
      </c>
      <c r="B11" t="s">
        <v>6</v>
      </c>
      <c r="C11" t="s">
        <v>4</v>
      </c>
      <c r="D11">
        <v>5.77</v>
      </c>
      <c r="E11">
        <v>321</v>
      </c>
      <c r="F11" s="2">
        <v>0.10244333</v>
      </c>
    </row>
    <row r="12" spans="1:6" x14ac:dyDescent="0.2">
      <c r="A12" s="1">
        <v>46154</v>
      </c>
      <c r="B12" t="s">
        <v>6</v>
      </c>
      <c r="C12" t="s">
        <v>4</v>
      </c>
      <c r="D12">
        <v>5.27</v>
      </c>
      <c r="E12">
        <v>57.7</v>
      </c>
      <c r="F12" s="2">
        <v>7.1143330000000005E-2</v>
      </c>
    </row>
    <row r="13" spans="1:6" x14ac:dyDescent="0.2">
      <c r="A13" s="1">
        <v>46139</v>
      </c>
      <c r="B13" t="s">
        <v>6</v>
      </c>
      <c r="C13" t="s">
        <v>4</v>
      </c>
      <c r="D13">
        <v>4.33</v>
      </c>
      <c r="E13">
        <v>115</v>
      </c>
      <c r="F13" s="2">
        <v>7.5436669999999997E-2</v>
      </c>
    </row>
    <row r="14" spans="1:6" x14ac:dyDescent="0.2">
      <c r="A14" s="1">
        <v>46247</v>
      </c>
      <c r="B14" t="s">
        <v>6</v>
      </c>
      <c r="C14" t="s">
        <v>4</v>
      </c>
      <c r="D14">
        <v>9.3000000000000007</v>
      </c>
      <c r="E14">
        <v>200</v>
      </c>
      <c r="F14" s="2">
        <v>0.14580000000000001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8E657D-24B3-4BA3-974E-70CDEE3A40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7B44B9-EFDF-4AE2-A910-A25DC857DB28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6d22e61-b5d5-437f-ad8f-227c443f1f4f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385A6F-C294-470D-8B0E-10FB40B87D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22e61-b5d5-437f-ad8f-227c443f1f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Privilege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Hardee, Mya</dc:creator>
  <cp:lastModifiedBy>Hardee, Mya</cp:lastModifiedBy>
  <dcterms:created xsi:type="dcterms:W3CDTF">2026-10-09T20:52:50Z</dcterms:created>
  <dcterms:modified xsi:type="dcterms:W3CDTF">2026-10-11T19:23:41Z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